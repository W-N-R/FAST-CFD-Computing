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6" i="1"/>
  <c r="K7"/>
  <c r="K8"/>
  <c r="K9"/>
  <c r="K10"/>
  <c r="K11"/>
  <c r="K12"/>
  <c r="K13"/>
  <c r="K14"/>
  <c r="K5"/>
  <c r="D16"/>
  <c r="E16"/>
  <c r="F16"/>
  <c r="G16"/>
  <c r="H16"/>
  <c r="I16"/>
  <c r="J16"/>
  <c r="D15"/>
  <c r="E15"/>
  <c r="F15"/>
  <c r="G15"/>
  <c r="H15"/>
  <c r="I15"/>
  <c r="J15"/>
  <c r="J5"/>
  <c r="J6"/>
  <c r="J7"/>
  <c r="J8"/>
  <c r="J9"/>
  <c r="J10"/>
  <c r="J11"/>
  <c r="J12"/>
  <c r="J13"/>
  <c r="J14"/>
  <c r="I5"/>
  <c r="I12"/>
  <c r="I13"/>
  <c r="I14"/>
  <c r="I8"/>
  <c r="I9"/>
  <c r="I10"/>
  <c r="I11"/>
  <c r="I7"/>
  <c r="I6"/>
  <c r="E6"/>
</calcChain>
</file>

<file path=xl/sharedStrings.xml><?xml version="1.0" encoding="utf-8"?>
<sst xmlns="http://schemas.openxmlformats.org/spreadsheetml/2006/main" count="22" uniqueCount="22">
  <si>
    <t>Roll#</t>
  </si>
  <si>
    <t>Name</t>
  </si>
  <si>
    <t>Math</t>
  </si>
  <si>
    <t xml:space="preserve">Science </t>
  </si>
  <si>
    <t>English</t>
  </si>
  <si>
    <t>Urdu</t>
  </si>
  <si>
    <t>Islamiat</t>
  </si>
  <si>
    <t>Total</t>
  </si>
  <si>
    <t>Grade</t>
  </si>
  <si>
    <t>John</t>
  </si>
  <si>
    <t>Henry</t>
  </si>
  <si>
    <t>Faiz</t>
  </si>
  <si>
    <t>Bill</t>
  </si>
  <si>
    <t>Sami</t>
  </si>
  <si>
    <t>Alize</t>
  </si>
  <si>
    <t>shanze</t>
  </si>
  <si>
    <t>Laiba</t>
  </si>
  <si>
    <t>Usami</t>
  </si>
  <si>
    <t>Anaa</t>
  </si>
  <si>
    <t>Max</t>
  </si>
  <si>
    <t>Min</t>
  </si>
  <si>
    <t>Perc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</si>
</sst>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4" borderId="3" applyNumberFormat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0" borderId="2" xfId="1" applyBorder="1"/>
    <xf numFmtId="0" fontId="2" fillId="0" borderId="1" xfId="1" applyBorder="1"/>
    <xf numFmtId="0" fontId="3" fillId="4" borderId="3" xfId="2" applyAlignment="1">
      <alignment textRotation="45" wrapText="1"/>
    </xf>
    <xf numFmtId="0" fontId="3" fillId="4" borderId="3" xfId="2" applyAlignment="1">
      <alignment horizontal="center" textRotation="45" wrapText="1"/>
    </xf>
  </cellXfs>
  <cellStyles count="3">
    <cellStyle name="Check Cell" xfId="2" builtinId="23"/>
    <cellStyle name="Normal" xfId="0" builtinId="0"/>
    <cellStyle name="Title" xfId="1" builtin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K16"/>
  <sheetViews>
    <sheetView tabSelected="1" workbookViewId="0">
      <selection activeCell="N4" sqref="N4"/>
    </sheetView>
  </sheetViews>
  <sheetFormatPr defaultRowHeight="15"/>
  <cols>
    <col min="2" max="2" width="11.42578125" customWidth="1"/>
    <col min="3" max="3" width="11.7109375" customWidth="1"/>
    <col min="4" max="4" width="12.140625" customWidth="1"/>
    <col min="5" max="5" width="11.140625" customWidth="1"/>
    <col min="6" max="6" width="13.42578125" customWidth="1"/>
    <col min="7" max="7" width="11.28515625" customWidth="1"/>
    <col min="8" max="8" width="11.7109375" customWidth="1"/>
    <col min="9" max="9" width="11.85546875" customWidth="1"/>
    <col min="10" max="10" width="11.7109375" customWidth="1"/>
    <col min="11" max="11" width="14.28515625" customWidth="1"/>
  </cols>
  <sheetData>
    <row r="3" spans="2:11" ht="15.75" thickBot="1"/>
    <row r="4" spans="2:11" ht="40.5" thickTop="1" thickBot="1"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21</v>
      </c>
      <c r="K4" s="9" t="s">
        <v>8</v>
      </c>
    </row>
    <row r="5" spans="2:11" ht="24" thickTop="1">
      <c r="B5" s="1">
        <v>1001</v>
      </c>
      <c r="C5" s="2" t="s">
        <v>9</v>
      </c>
      <c r="D5" s="1">
        <v>85</v>
      </c>
      <c r="E5" s="1">
        <v>77</v>
      </c>
      <c r="F5" s="1">
        <v>67</v>
      </c>
      <c r="G5" s="1">
        <v>85</v>
      </c>
      <c r="H5" s="1">
        <v>78</v>
      </c>
      <c r="I5" s="1">
        <f>SUM(D5:H5)</f>
        <v>392</v>
      </c>
      <c r="J5" s="4">
        <f>(I5/500)*100</f>
        <v>78.400000000000006</v>
      </c>
      <c r="K5" s="1" t="str">
        <f>IF(J5&gt;85,"A",IF(J5&gt;75,"B",IF(J5&gt;65,"C",IF(J5&gt;55,"D+",IF(J5&gt;50,"D",IF(J5&lt;50,"Fail"))))))</f>
        <v>B</v>
      </c>
    </row>
    <row r="6" spans="2:11" ht="23.25">
      <c r="B6" s="1">
        <v>1002</v>
      </c>
      <c r="C6" s="2" t="s">
        <v>10</v>
      </c>
      <c r="D6" s="1">
        <v>96</v>
      </c>
      <c r="E6" s="1">
        <f>76</f>
        <v>76</v>
      </c>
      <c r="F6" s="1">
        <v>91</v>
      </c>
      <c r="G6" s="1">
        <v>76</v>
      </c>
      <c r="H6" s="1">
        <v>65</v>
      </c>
      <c r="I6" s="1">
        <f>SUM(D6:H6)</f>
        <v>404</v>
      </c>
      <c r="J6" s="4">
        <f t="shared" ref="J6:J14" si="0">(I6/500)*100</f>
        <v>80.800000000000011</v>
      </c>
      <c r="K6" s="1" t="str">
        <f t="shared" ref="K6:K14" si="1">IF(J6&gt;85,"A",IF(J6&gt;75,"B",IF(J6&gt;65,"C",IF(J6&gt;55,"D+",IF(J6&gt;50,"D",IF(J6&lt;50,"Fail"))))))</f>
        <v>B</v>
      </c>
    </row>
    <row r="7" spans="2:11" ht="23.25">
      <c r="B7" s="1">
        <v>1003</v>
      </c>
      <c r="C7" s="2" t="s">
        <v>11</v>
      </c>
      <c r="D7" s="1">
        <v>48</v>
      </c>
      <c r="E7" s="1">
        <v>58</v>
      </c>
      <c r="F7" s="1">
        <v>88</v>
      </c>
      <c r="G7" s="1">
        <v>66</v>
      </c>
      <c r="H7" s="1">
        <v>92</v>
      </c>
      <c r="I7" s="1">
        <f>SUM(D7:H7)</f>
        <v>352</v>
      </c>
      <c r="J7" s="4">
        <f t="shared" si="0"/>
        <v>70.399999999999991</v>
      </c>
      <c r="K7" s="1" t="str">
        <f t="shared" si="1"/>
        <v>C</v>
      </c>
    </row>
    <row r="8" spans="2:11" ht="23.25">
      <c r="B8" s="1">
        <v>1004</v>
      </c>
      <c r="C8" s="2" t="s">
        <v>12</v>
      </c>
      <c r="D8" s="1">
        <v>58</v>
      </c>
      <c r="E8" s="1">
        <v>44</v>
      </c>
      <c r="F8" s="1">
        <v>51</v>
      </c>
      <c r="G8" s="1">
        <v>67</v>
      </c>
      <c r="H8" s="1">
        <v>66</v>
      </c>
      <c r="I8" s="1">
        <f t="shared" ref="I8:I14" si="2">SUM(D8:H8)</f>
        <v>286</v>
      </c>
      <c r="J8" s="4">
        <f t="shared" si="0"/>
        <v>57.199999999999996</v>
      </c>
      <c r="K8" s="1" t="str">
        <f t="shared" si="1"/>
        <v>D+</v>
      </c>
    </row>
    <row r="9" spans="2:11" ht="23.25">
      <c r="B9" s="1">
        <v>1005</v>
      </c>
      <c r="C9" s="2" t="s">
        <v>13</v>
      </c>
      <c r="D9" s="1">
        <v>54</v>
      </c>
      <c r="E9" s="1">
        <v>48</v>
      </c>
      <c r="F9" s="1">
        <v>39</v>
      </c>
      <c r="G9" s="1">
        <v>93</v>
      </c>
      <c r="H9" s="1">
        <v>85</v>
      </c>
      <c r="I9" s="1">
        <f t="shared" si="2"/>
        <v>319</v>
      </c>
      <c r="J9" s="4">
        <f t="shared" si="0"/>
        <v>63.800000000000004</v>
      </c>
      <c r="K9" s="1" t="str">
        <f t="shared" si="1"/>
        <v>D+</v>
      </c>
    </row>
    <row r="10" spans="2:11" ht="23.25">
      <c r="B10" s="1">
        <v>1006</v>
      </c>
      <c r="C10" s="2" t="s">
        <v>14</v>
      </c>
      <c r="D10" s="1">
        <v>96</v>
      </c>
      <c r="E10" s="1">
        <v>72</v>
      </c>
      <c r="F10" s="1">
        <v>93</v>
      </c>
      <c r="G10" s="1">
        <v>27</v>
      </c>
      <c r="H10" s="1">
        <v>65</v>
      </c>
      <c r="I10" s="1">
        <f t="shared" si="2"/>
        <v>353</v>
      </c>
      <c r="J10" s="4">
        <f t="shared" si="0"/>
        <v>70.599999999999994</v>
      </c>
      <c r="K10" s="1" t="str">
        <f t="shared" si="1"/>
        <v>C</v>
      </c>
    </row>
    <row r="11" spans="2:11" ht="23.25">
      <c r="B11" s="1">
        <v>1007</v>
      </c>
      <c r="C11" s="2" t="s">
        <v>15</v>
      </c>
      <c r="D11" s="1">
        <v>72</v>
      </c>
      <c r="E11" s="1">
        <v>61</v>
      </c>
      <c r="F11" s="1">
        <v>65</v>
      </c>
      <c r="G11" s="1">
        <v>43</v>
      </c>
      <c r="H11" s="1">
        <v>68</v>
      </c>
      <c r="I11" s="1">
        <f t="shared" si="2"/>
        <v>309</v>
      </c>
      <c r="J11" s="4">
        <f t="shared" si="0"/>
        <v>61.8</v>
      </c>
      <c r="K11" s="1" t="str">
        <f t="shared" si="1"/>
        <v>D+</v>
      </c>
    </row>
    <row r="12" spans="2:11" ht="23.25">
      <c r="B12" s="1">
        <v>1008</v>
      </c>
      <c r="C12" s="2" t="s">
        <v>16</v>
      </c>
      <c r="D12" s="1">
        <v>85</v>
      </c>
      <c r="E12" s="1">
        <v>69</v>
      </c>
      <c r="F12" s="1">
        <v>72</v>
      </c>
      <c r="G12" s="1">
        <v>38</v>
      </c>
      <c r="H12" s="1">
        <v>78</v>
      </c>
      <c r="I12" s="1">
        <f t="shared" si="2"/>
        <v>342</v>
      </c>
      <c r="J12" s="4">
        <f t="shared" si="0"/>
        <v>68.400000000000006</v>
      </c>
      <c r="K12" s="1" t="str">
        <f t="shared" si="1"/>
        <v>C</v>
      </c>
    </row>
    <row r="13" spans="2:11" ht="23.25">
      <c r="B13" s="1">
        <v>1009</v>
      </c>
      <c r="C13" s="2" t="s">
        <v>17</v>
      </c>
      <c r="D13" s="1">
        <v>51</v>
      </c>
      <c r="E13" s="1">
        <v>76</v>
      </c>
      <c r="F13" s="1">
        <v>58</v>
      </c>
      <c r="G13" s="1">
        <v>42</v>
      </c>
      <c r="H13" s="1">
        <v>59</v>
      </c>
      <c r="I13" s="1">
        <f t="shared" si="2"/>
        <v>286</v>
      </c>
      <c r="J13" s="4">
        <f t="shared" si="0"/>
        <v>57.199999999999996</v>
      </c>
      <c r="K13" s="1" t="str">
        <f t="shared" si="1"/>
        <v>D+</v>
      </c>
    </row>
    <row r="14" spans="2:11" ht="23.25">
      <c r="B14" s="1">
        <v>1010</v>
      </c>
      <c r="C14" s="2" t="s">
        <v>18</v>
      </c>
      <c r="D14" s="1">
        <v>28</v>
      </c>
      <c r="E14" s="1">
        <v>92</v>
      </c>
      <c r="F14" s="1">
        <v>85</v>
      </c>
      <c r="G14" s="1">
        <v>44</v>
      </c>
      <c r="H14" s="1">
        <v>38</v>
      </c>
      <c r="I14" s="1">
        <f t="shared" si="2"/>
        <v>287</v>
      </c>
      <c r="J14" s="4">
        <f t="shared" si="0"/>
        <v>57.4</v>
      </c>
      <c r="K14" s="1" t="str">
        <f t="shared" si="1"/>
        <v>D+</v>
      </c>
    </row>
    <row r="15" spans="2:11" ht="23.25">
      <c r="C15" s="7" t="s">
        <v>20</v>
      </c>
      <c r="D15" s="5">
        <f t="shared" ref="D15:J15" si="3">MIN(D5:D14)</f>
        <v>28</v>
      </c>
      <c r="E15" s="5">
        <f t="shared" si="3"/>
        <v>44</v>
      </c>
      <c r="F15" s="5">
        <f t="shared" si="3"/>
        <v>39</v>
      </c>
      <c r="G15" s="5">
        <f t="shared" si="3"/>
        <v>27</v>
      </c>
      <c r="H15" s="5">
        <f t="shared" si="3"/>
        <v>38</v>
      </c>
      <c r="I15" s="5">
        <f t="shared" si="3"/>
        <v>286</v>
      </c>
      <c r="J15" s="3">
        <f t="shared" si="3"/>
        <v>57.199999999999996</v>
      </c>
    </row>
    <row r="16" spans="2:11" ht="23.25">
      <c r="C16" s="8" t="s">
        <v>19</v>
      </c>
      <c r="D16" s="6">
        <f t="shared" ref="D16:J16" si="4">MAX(D5:D15)</f>
        <v>96</v>
      </c>
      <c r="E16" s="6">
        <f t="shared" si="4"/>
        <v>92</v>
      </c>
      <c r="F16" s="6">
        <f t="shared" si="4"/>
        <v>93</v>
      </c>
      <c r="G16" s="6">
        <f t="shared" si="4"/>
        <v>93</v>
      </c>
      <c r="H16" s="6">
        <f t="shared" si="4"/>
        <v>92</v>
      </c>
      <c r="I16" s="6">
        <f t="shared" si="4"/>
        <v>404</v>
      </c>
      <c r="J16" s="1">
        <f t="shared" si="4"/>
        <v>80.800000000000011</v>
      </c>
    </row>
  </sheetData>
  <conditionalFormatting sqref="J5:J1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5:I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6:I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2022-10-31T07:54:57Z</dcterms:created>
  <dcterms:modified xsi:type="dcterms:W3CDTF">2022-10-31T09:06:44Z</dcterms:modified>
</cp:coreProperties>
</file>